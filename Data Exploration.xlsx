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ssignments\"/>
    </mc:Choice>
  </mc:AlternateContent>
  <xr:revisionPtr revIDLastSave="0" documentId="13_ncr:1_{26013CF7-D2C0-4CDD-A9B3-7AED7AFB0B8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Answers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A29" i="3"/>
  <c r="A26" i="3"/>
  <c r="G35" i="2"/>
  <c r="G9" i="2"/>
  <c r="G15" i="2"/>
  <c r="G31" i="2"/>
  <c r="G8" i="2"/>
  <c r="G23" i="2"/>
  <c r="G2" i="2"/>
  <c r="G11" i="2"/>
  <c r="G28" i="2"/>
  <c r="G16" i="2"/>
  <c r="G32" i="2"/>
  <c r="G12" i="2"/>
  <c r="G14" i="2"/>
  <c r="G19" i="2"/>
  <c r="G26" i="2"/>
  <c r="G4" i="2"/>
  <c r="G22" i="2"/>
  <c r="G34" i="2"/>
  <c r="G20" i="2"/>
  <c r="G24" i="2"/>
  <c r="G29" i="2"/>
  <c r="G10" i="2"/>
  <c r="G21" i="2"/>
  <c r="G5" i="2"/>
  <c r="G30" i="2"/>
  <c r="G17" i="2"/>
  <c r="G27" i="2"/>
  <c r="G25" i="2"/>
  <c r="G7" i="2"/>
  <c r="G3" i="2"/>
  <c r="G18" i="2"/>
  <c r="G6" i="2"/>
  <c r="G33" i="2"/>
  <c r="G13" i="2"/>
  <c r="A18" i="3"/>
  <c r="A15" i="3"/>
  <c r="A5" i="3"/>
  <c r="A11" i="3"/>
  <c r="A8" i="3"/>
</calcChain>
</file>

<file path=xl/sharedStrings.xml><?xml version="1.0" encoding="utf-8"?>
<sst xmlns="http://schemas.openxmlformats.org/spreadsheetml/2006/main" count="201" uniqueCount="126">
  <si>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</si>
  <si>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</si>
  <si>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</si>
  <si>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</si>
  <si>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</si>
  <si>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</si>
  <si>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</si>
  <si>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</si>
  <si>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</si>
  <si>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</si>
  <si>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</si>
  <si>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</si>
  <si>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</si>
  <si>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</si>
  <si>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</si>
  <si>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</si>
  <si>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</si>
  <si>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</si>
  <si>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</si>
  <si>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</si>
  <si>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</si>
  <si>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</si>
  <si>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</si>
  <si>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</si>
  <si>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</si>
  <si>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</si>
  <si>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</si>
  <si>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</si>
  <si>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</si>
  <si>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</si>
  <si>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</si>
  <si>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</si>
  <si>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</si>
  <si>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</si>
  <si>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</si>
  <si>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</si>
  <si>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</si>
  <si>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</si>
  <si>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</si>
  <si>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</si>
  <si>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</si>
  <si>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</si>
  <si>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</si>
  <si>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</si>
  <si>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</si>
  <si>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</si>
  <si>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</si>
  <si>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</si>
  <si>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</si>
  <si>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</si>
  <si>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</si>
  <si>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</si>
  <si>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</si>
  <si>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</si>
  <si>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</si>
  <si>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</si>
  <si>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</si>
  <si>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</si>
  <si>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</si>
  <si>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</si>
  <si>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</si>
  <si>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</si>
  <si>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</si>
  <si>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</si>
  <si>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</si>
  <si>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</si>
  <si>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</si>
  <si>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</si>
  <si>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</si>
  <si>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</si>
  <si>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</si>
  <si>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</si>
  <si>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</si>
  <si>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</si>
  <si>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</si>
  <si>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</si>
  <si>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</si>
  <si>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</si>
  <si>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</si>
  <si>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</si>
  <si>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</si>
  <si>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</si>
  <si>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</si>
  <si>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</si>
  <si>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</si>
  <si>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</si>
  <si>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</si>
  <si>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</si>
  <si>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</si>
  <si>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</si>
  <si>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</si>
  <si>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</si>
  <si>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</si>
  <si>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</si>
  <si>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</si>
  <si>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</si>
  <si>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</si>
  <si>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</si>
  <si>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</si>
  <si>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</si>
  <si>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</si>
  <si>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</si>
  <si>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</si>
  <si>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</si>
  <si>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</si>
  <si>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</si>
  <si>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</si>
  <si>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</si>
  <si>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</si>
  <si>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</si>
  <si>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-</t>
  </si>
  <si>
    <t>(=min()) function</t>
  </si>
  <si>
    <t>(=max()) function</t>
  </si>
  <si>
    <t>Mentioned in the table</t>
  </si>
  <si>
    <t>Price Range</t>
  </si>
  <si>
    <t>(=sumif()) function</t>
  </si>
  <si>
    <t>(=countif()) function</t>
  </si>
  <si>
    <t>Day</t>
  </si>
  <si>
    <t>Country Code</t>
  </si>
  <si>
    <t>Mentioned in the table, (=right() function)</t>
  </si>
  <si>
    <t>Mentioned in the table , (=left()) function)</t>
  </si>
  <si>
    <t>Month</t>
  </si>
  <si>
    <t>Mentioned in the table ,(=mid()function)</t>
  </si>
  <si>
    <t>(=average()) function</t>
  </si>
  <si>
    <t>(=count()) function</t>
  </si>
  <si>
    <t>(=sum())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</si>
</sst>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D593E-338E-4C02-A3CD-7D4F450B8A5D}" name="Table1" displayName="Table1" ref="A1:J35" totalsRowShown="0" headerRowDxfId="4" dataDxfId="5">
  <autoFilter ref="A1:J35" xr:uid="{795D593E-338E-4C02-A3CD-7D4F450B8A5D}"/>
  <sortState xmlns:xlrd2="http://schemas.microsoft.com/office/spreadsheetml/2017/richdata2" ref="A2:G35">
    <sortCondition ref="D1:D35"/>
  </sortState>
  <tableColumns count="10">
    <tableColumn id="1" xr3:uid="{E8BD45CA-2553-4236-9219-4C7B357DAA83}" name="Product ID" dataDxfId="11"/>
    <tableColumn id="2" xr3:uid="{0AE33438-DE81-47D4-ADAB-AA867D954981}" name="Product Name" dataDxfId="10"/>
    <tableColumn id="3" xr3:uid="{D399A840-14DC-4BFD-9CCF-1A8150BBAB78}" name="Brand Name" dataDxfId="9"/>
    <tableColumn id="4" xr3:uid="{02AE6888-5CB6-4862-824E-0323CDDE4479}" name="Price ($)" dataDxfId="8"/>
    <tableColumn id="5" xr3:uid="{177ECCC1-CF06-4F72-8CAE-D74974B26F97}" name="Quantity" dataDxfId="7"/>
    <tableColumn id="6" xr3:uid="{424A0894-0598-4292-AF6D-2DCA1B53582C}" name="Category" dataDxfId="6"/>
    <tableColumn id="7" xr3:uid="{6237EC1C-8385-4CD3-BE18-B7A42B71FE7A}" name="Price Range" dataDxfId="3">
      <calculatedColumnFormula>IF(Table1[[#This Row],[Price ($)]]&gt;=500,"Higher Price","Standard Price")</calculatedColumnFormula>
    </tableColumn>
    <tableColumn id="8" xr3:uid="{78933B29-9A3A-47B1-9103-AE4E2EFAB55E}" name="Day" dataDxfId="2">
      <calculatedColumnFormula>LEFT(Table1[[#This Row],[Product ID]],2)</calculatedColumnFormula>
    </tableColumn>
    <tableColumn id="9" xr3:uid="{AB7CBB92-C4E0-4447-B626-DF98DD975587}" name="Country Code" dataDxfId="1">
      <calculatedColumnFormula>RIGHT(Table1[[#This Row],[Product ID]],2)</calculatedColumnFormula>
    </tableColumn>
    <tableColumn id="10" xr3:uid="{631132A1-F721-4845-9AE6-63BF48CA45FE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4" workbookViewId="0">
      <selection activeCell="C22" sqref="C22"/>
    </sheetView>
  </sheetViews>
  <sheetFormatPr defaultColWidth="12.6328125" defaultRowHeight="15.75" customHeight="1" x14ac:dyDescent="0.25"/>
  <sheetData>
    <row r="1" spans="1:2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C6E4-0E0E-471E-9F2E-C212358D8A16}">
  <dimension ref="A2:G40"/>
  <sheetViews>
    <sheetView tabSelected="1" workbookViewId="0">
      <selection activeCell="A44" sqref="A44"/>
    </sheetView>
  </sheetViews>
  <sheetFormatPr defaultRowHeight="12.5" x14ac:dyDescent="0.25"/>
  <cols>
    <col min="1" max="1" width="143.453125" bestFit="1" customWidth="1"/>
    <col min="2" max="6" width="8.7265625" customWidth="1"/>
    <col min="7" max="7" width="8.6328125" customWidth="1"/>
  </cols>
  <sheetData>
    <row r="2" spans="1:7" x14ac:dyDescent="0.25">
      <c r="A2" s="10"/>
      <c r="B2" s="10"/>
      <c r="C2" s="10"/>
      <c r="D2" s="10"/>
      <c r="E2" s="10"/>
      <c r="F2" s="11"/>
    </row>
    <row r="3" spans="1:7" x14ac:dyDescent="0.25">
      <c r="A3" s="16" t="s">
        <v>1</v>
      </c>
      <c r="B3" s="10"/>
      <c r="C3" s="10"/>
      <c r="D3" s="10"/>
      <c r="E3" s="10"/>
      <c r="F3" s="11"/>
      <c r="G3" s="12"/>
    </row>
    <row r="4" spans="1:7" s="15" customFormat="1" x14ac:dyDescent="0.25">
      <c r="A4" s="17" t="s">
        <v>2</v>
      </c>
      <c r="B4" s="13"/>
      <c r="C4" s="13"/>
      <c r="D4" s="13"/>
      <c r="E4" s="13"/>
      <c r="F4" s="14" t="s">
        <v>110</v>
      </c>
    </row>
    <row r="5" spans="1:7" x14ac:dyDescent="0.25">
      <c r="A5" s="12">
        <f>SUM(Table1[Price ($)])</f>
        <v>10100</v>
      </c>
      <c r="B5" t="s">
        <v>125</v>
      </c>
      <c r="C5" s="10"/>
      <c r="D5" s="10"/>
      <c r="E5" s="10"/>
      <c r="F5" s="11"/>
      <c r="G5" s="12"/>
    </row>
    <row r="6" spans="1:7" x14ac:dyDescent="0.25">
      <c r="A6" s="12"/>
      <c r="C6" s="10"/>
      <c r="D6" s="10"/>
      <c r="E6" s="10"/>
      <c r="F6" s="11"/>
      <c r="G6" s="12"/>
    </row>
    <row r="7" spans="1:7" x14ac:dyDescent="0.25">
      <c r="A7" s="17" t="s">
        <v>3</v>
      </c>
      <c r="B7" s="10"/>
      <c r="C7" s="10"/>
      <c r="D7" s="10"/>
      <c r="E7" s="10"/>
      <c r="F7" s="11" t="s">
        <v>110</v>
      </c>
    </row>
    <row r="8" spans="1:7" x14ac:dyDescent="0.25">
      <c r="A8" s="12">
        <f>COUNTA(Table1[Product ID])</f>
        <v>34</v>
      </c>
      <c r="B8" t="s">
        <v>124</v>
      </c>
      <c r="C8" s="10"/>
      <c r="D8" s="10"/>
      <c r="E8" s="10"/>
      <c r="F8" s="11"/>
      <c r="G8" s="12"/>
    </row>
    <row r="9" spans="1:7" x14ac:dyDescent="0.25">
      <c r="A9" s="12"/>
      <c r="C9" s="10"/>
      <c r="D9" s="10"/>
      <c r="E9" s="10"/>
      <c r="F9" s="11"/>
      <c r="G9" s="12"/>
    </row>
    <row r="10" spans="1:7" x14ac:dyDescent="0.25">
      <c r="A10" s="17" t="s">
        <v>4</v>
      </c>
      <c r="B10" s="10"/>
      <c r="C10" s="10"/>
      <c r="D10" s="10"/>
      <c r="E10" s="10"/>
      <c r="F10" s="11" t="s">
        <v>110</v>
      </c>
    </row>
    <row r="11" spans="1:7" x14ac:dyDescent="0.25">
      <c r="A11" s="12">
        <f>AVERAGE(Table1[Price ($)])</f>
        <v>297.05882352941177</v>
      </c>
      <c r="B11" t="s">
        <v>123</v>
      </c>
      <c r="D11" s="10"/>
      <c r="E11" s="10"/>
      <c r="F11" s="11"/>
      <c r="G11" s="12"/>
    </row>
    <row r="12" spans="1:7" x14ac:dyDescent="0.25">
      <c r="A12" s="10"/>
      <c r="B12" s="10"/>
      <c r="C12" s="10"/>
      <c r="D12" s="10"/>
      <c r="E12" s="10"/>
      <c r="F12" s="11"/>
      <c r="G12" s="12"/>
    </row>
    <row r="13" spans="1:7" x14ac:dyDescent="0.25">
      <c r="A13" s="16" t="s">
        <v>5</v>
      </c>
      <c r="B13" s="10"/>
      <c r="C13" s="10"/>
      <c r="D13" s="10"/>
      <c r="E13" s="10"/>
      <c r="F13" s="11"/>
      <c r="G13" s="12"/>
    </row>
    <row r="14" spans="1:7" x14ac:dyDescent="0.25">
      <c r="A14" s="17" t="s">
        <v>6</v>
      </c>
      <c r="B14" s="10"/>
      <c r="C14" s="10"/>
      <c r="D14" s="10"/>
      <c r="E14" s="10"/>
      <c r="F14" s="11" t="s">
        <v>110</v>
      </c>
    </row>
    <row r="15" spans="1:7" x14ac:dyDescent="0.25">
      <c r="A15" s="12">
        <f>MIN(Table1[Price ($)])</f>
        <v>30</v>
      </c>
      <c r="B15" t="s">
        <v>111</v>
      </c>
      <c r="D15" s="10"/>
      <c r="E15" s="10"/>
      <c r="F15" s="11"/>
      <c r="G15" s="12"/>
    </row>
    <row r="16" spans="1:7" x14ac:dyDescent="0.25">
      <c r="A16" s="12"/>
      <c r="D16" s="10"/>
      <c r="E16" s="10"/>
      <c r="F16" s="11"/>
      <c r="G16" s="12"/>
    </row>
    <row r="17" spans="1:7" x14ac:dyDescent="0.25">
      <c r="A17" s="17" t="s">
        <v>7</v>
      </c>
      <c r="B17" s="10"/>
      <c r="C17" s="10"/>
      <c r="D17" s="10"/>
      <c r="E17" s="10"/>
      <c r="F17" s="11" t="s">
        <v>110</v>
      </c>
    </row>
    <row r="18" spans="1:7" x14ac:dyDescent="0.25">
      <c r="A18" s="12">
        <f>MAX(Table1[Price ($)])</f>
        <v>1000</v>
      </c>
      <c r="B18" t="s">
        <v>112</v>
      </c>
      <c r="D18" s="10"/>
      <c r="E18" s="10"/>
      <c r="F18" s="11"/>
      <c r="G18" s="12"/>
    </row>
    <row r="19" spans="1:7" x14ac:dyDescent="0.25">
      <c r="A19" s="10"/>
      <c r="B19" s="10"/>
      <c r="C19" s="10"/>
      <c r="D19" s="10"/>
      <c r="E19" s="10"/>
      <c r="F19" s="11"/>
      <c r="G19" s="12"/>
    </row>
    <row r="20" spans="1:7" x14ac:dyDescent="0.25">
      <c r="A20" s="16" t="s">
        <v>8</v>
      </c>
      <c r="B20" s="10"/>
      <c r="C20" s="10"/>
      <c r="D20" s="10"/>
      <c r="E20" s="10"/>
      <c r="F20" s="11"/>
      <c r="G20" s="12"/>
    </row>
    <row r="21" spans="1:7" x14ac:dyDescent="0.25">
      <c r="A21" s="17" t="s">
        <v>9</v>
      </c>
      <c r="B21" s="10"/>
      <c r="C21" s="10"/>
      <c r="D21" s="10"/>
      <c r="E21" s="10"/>
      <c r="F21" s="11" t="s">
        <v>110</v>
      </c>
    </row>
    <row r="22" spans="1:7" x14ac:dyDescent="0.25">
      <c r="A22" s="12" t="s">
        <v>113</v>
      </c>
      <c r="B22" s="10"/>
      <c r="C22" s="10"/>
      <c r="D22" s="10"/>
      <c r="E22" s="10"/>
      <c r="F22" s="11"/>
      <c r="G22" s="12"/>
    </row>
    <row r="23" spans="1:7" x14ac:dyDescent="0.25">
      <c r="A23" s="10"/>
      <c r="B23" s="10"/>
      <c r="C23" s="10"/>
      <c r="D23" s="10"/>
      <c r="E23" s="10"/>
      <c r="F23" s="11"/>
      <c r="G23" s="12"/>
    </row>
    <row r="24" spans="1:7" x14ac:dyDescent="0.25">
      <c r="A24" s="16" t="s">
        <v>10</v>
      </c>
      <c r="B24" s="10"/>
      <c r="C24" s="10"/>
      <c r="D24" s="10"/>
      <c r="E24" s="10"/>
      <c r="F24" s="11"/>
      <c r="G24" s="12"/>
    </row>
    <row r="25" spans="1:7" x14ac:dyDescent="0.25">
      <c r="A25" s="17" t="s">
        <v>11</v>
      </c>
      <c r="B25" s="10"/>
      <c r="C25" s="10"/>
      <c r="D25" s="10"/>
      <c r="E25" s="10"/>
      <c r="F25" s="11" t="s">
        <v>110</v>
      </c>
    </row>
    <row r="26" spans="1:7" x14ac:dyDescent="0.25">
      <c r="A26" s="12">
        <f>SUMIF(Table1[Category],Dataset!F5,Table1[Price ($)])</f>
        <v>200</v>
      </c>
      <c r="B26" t="s">
        <v>115</v>
      </c>
      <c r="D26" s="10"/>
      <c r="E26" s="10"/>
      <c r="F26" s="11"/>
      <c r="G26" s="12"/>
    </row>
    <row r="27" spans="1:7" x14ac:dyDescent="0.25">
      <c r="A27" s="12"/>
      <c r="D27" s="10"/>
      <c r="E27" s="10"/>
      <c r="F27" s="11"/>
      <c r="G27" s="12"/>
    </row>
    <row r="28" spans="1:7" x14ac:dyDescent="0.25">
      <c r="A28" s="17" t="s">
        <v>12</v>
      </c>
      <c r="B28" s="10"/>
      <c r="C28" s="10"/>
      <c r="D28" s="10"/>
      <c r="E28" s="10"/>
      <c r="F28" s="11" t="s">
        <v>110</v>
      </c>
    </row>
    <row r="29" spans="1:7" x14ac:dyDescent="0.25">
      <c r="A29" s="12">
        <f>COUNTIF(Table1[Price ($)],"&lt;100")</f>
        <v>11</v>
      </c>
      <c r="B29" t="s">
        <v>116</v>
      </c>
      <c r="D29" s="10"/>
      <c r="E29" s="10"/>
      <c r="F29" s="11"/>
      <c r="G29" s="12"/>
    </row>
    <row r="30" spans="1:7" x14ac:dyDescent="0.25">
      <c r="A30" s="10"/>
      <c r="B30" s="10"/>
      <c r="C30" s="10"/>
      <c r="D30" s="10"/>
      <c r="E30" s="10"/>
      <c r="F30" s="11"/>
      <c r="G30" s="12"/>
    </row>
    <row r="31" spans="1:7" x14ac:dyDescent="0.25">
      <c r="A31" s="16" t="s">
        <v>13</v>
      </c>
      <c r="B31" s="10"/>
      <c r="C31" s="10"/>
      <c r="D31" s="10"/>
      <c r="E31" s="10"/>
      <c r="F31" s="11"/>
      <c r="G31" s="12"/>
    </row>
    <row r="32" spans="1:7" x14ac:dyDescent="0.25">
      <c r="A32" s="17" t="s">
        <v>14</v>
      </c>
      <c r="B32" s="10"/>
      <c r="C32" s="10"/>
      <c r="D32" s="10"/>
      <c r="E32" s="10"/>
      <c r="F32" s="11" t="s">
        <v>110</v>
      </c>
    </row>
    <row r="33" spans="1:7" x14ac:dyDescent="0.25">
      <c r="A33" s="12" t="s">
        <v>120</v>
      </c>
      <c r="B33" s="10"/>
      <c r="C33" s="10"/>
      <c r="D33" s="10"/>
      <c r="E33" s="10"/>
      <c r="F33" s="11"/>
      <c r="G33" s="12"/>
    </row>
    <row r="34" spans="1:7" x14ac:dyDescent="0.25">
      <c r="A34" s="12"/>
      <c r="B34" s="10"/>
      <c r="C34" s="10"/>
      <c r="D34" s="10"/>
      <c r="E34" s="10"/>
      <c r="F34" s="11"/>
      <c r="G34" s="12"/>
    </row>
    <row r="35" spans="1:7" x14ac:dyDescent="0.25">
      <c r="A35" s="17" t="s">
        <v>15</v>
      </c>
      <c r="B35" s="10"/>
      <c r="C35" s="10"/>
      <c r="D35" s="10"/>
      <c r="E35" s="10"/>
      <c r="F35" s="11" t="s">
        <v>110</v>
      </c>
    </row>
    <row r="36" spans="1:7" x14ac:dyDescent="0.25">
      <c r="A36" s="12" t="s">
        <v>119</v>
      </c>
      <c r="B36" s="10"/>
      <c r="C36" s="10"/>
      <c r="D36" s="10"/>
      <c r="E36" s="10"/>
      <c r="F36" s="11"/>
      <c r="G36" s="12"/>
    </row>
    <row r="37" spans="1:7" x14ac:dyDescent="0.25">
      <c r="A37" s="12"/>
      <c r="B37" s="10"/>
      <c r="C37" s="10"/>
      <c r="D37" s="10"/>
      <c r="E37" s="10"/>
      <c r="F37" s="11"/>
      <c r="G37" s="12"/>
    </row>
    <row r="38" spans="1:7" x14ac:dyDescent="0.25">
      <c r="A38" s="17" t="s">
        <v>16</v>
      </c>
      <c r="B38" s="10"/>
      <c r="C38" s="10"/>
      <c r="D38" s="10"/>
      <c r="E38" s="10"/>
      <c r="F38" s="11" t="s">
        <v>110</v>
      </c>
    </row>
    <row r="39" spans="1:7" x14ac:dyDescent="0.25">
      <c r="A39" s="12" t="s">
        <v>122</v>
      </c>
      <c r="F39" s="11"/>
    </row>
    <row r="40" spans="1:7" x14ac:dyDescent="0.25">
      <c r="F4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5"/>
  <sheetViews>
    <sheetView zoomScale="85" zoomScaleNormal="85" workbookViewId="0">
      <selection activeCell="K5" sqref="K5"/>
    </sheetView>
  </sheetViews>
  <sheetFormatPr defaultColWidth="12.6328125" defaultRowHeight="15.75" customHeight="1" x14ac:dyDescent="0.25"/>
  <cols>
    <col min="2" max="2" width="14.90625" customWidth="1"/>
    <col min="3" max="3" width="13.26953125" customWidth="1"/>
    <col min="7" max="7" width="30.26953125" bestFit="1" customWidth="1"/>
  </cols>
  <sheetData>
    <row r="1" spans="1:10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114</v>
      </c>
      <c r="H1" s="5" t="s">
        <v>117</v>
      </c>
      <c r="I1" s="5" t="s">
        <v>118</v>
      </c>
      <c r="J1" s="5" t="s">
        <v>121</v>
      </c>
    </row>
    <row r="2" spans="1:10" ht="15.75" customHeight="1" x14ac:dyDescent="0.25">
      <c r="A2" s="2" t="s">
        <v>45</v>
      </c>
      <c r="B2" s="2" t="s">
        <v>46</v>
      </c>
      <c r="C2" s="2" t="s">
        <v>47</v>
      </c>
      <c r="D2" s="6">
        <v>30</v>
      </c>
      <c r="E2" s="6">
        <v>5</v>
      </c>
      <c r="F2" s="2" t="s">
        <v>30</v>
      </c>
      <c r="G2" s="7" t="str">
        <f>IF(Table1[[#This Row],[Price ($)]]&gt;=500,"Higher Price","Standard Price")</f>
        <v>Standard Price</v>
      </c>
      <c r="H2" s="7" t="str">
        <f>LEFT(Table1[[#This Row],[Product ID]],2)</f>
        <v>19</v>
      </c>
      <c r="I2" s="7" t="str">
        <f>RIGHT(Table1[[#This Row],[Product ID]],2)</f>
        <v>UK</v>
      </c>
      <c r="J2" s="9" t="str">
        <f>MID(Table1[[#This Row],[Product ID]],4,3)</f>
        <v>JUL</v>
      </c>
    </row>
    <row r="3" spans="1:10" ht="15.75" customHeight="1" x14ac:dyDescent="0.25">
      <c r="A3" s="7" t="s">
        <v>99</v>
      </c>
      <c r="B3" s="7" t="s">
        <v>100</v>
      </c>
      <c r="C3" s="7" t="s">
        <v>101</v>
      </c>
      <c r="D3" s="8">
        <v>40</v>
      </c>
      <c r="E3" s="8">
        <v>10</v>
      </c>
      <c r="F3" s="7" t="s">
        <v>34</v>
      </c>
      <c r="G3" s="7" t="str">
        <f>IF(Table1[[#This Row],[Price ($)]]&gt;=500,"Higher Price","Standard Price")</f>
        <v>Standard Price</v>
      </c>
      <c r="H3" s="7" t="str">
        <f>LEFT(Table1[[#This Row],[Product ID]],2)</f>
        <v>13</v>
      </c>
      <c r="I3" s="7" t="str">
        <f>RIGHT(Table1[[#This Row],[Product ID]],2)</f>
        <v>CA</v>
      </c>
      <c r="J3" s="9" t="str">
        <f>MID(Table1[[#This Row],[Product ID]],4,3)</f>
        <v>APR</v>
      </c>
    </row>
    <row r="4" spans="1:10" ht="15.75" customHeight="1" x14ac:dyDescent="0.25">
      <c r="A4" s="7" t="s">
        <v>67</v>
      </c>
      <c r="B4" s="7" t="s">
        <v>68</v>
      </c>
      <c r="C4" s="7" t="s">
        <v>69</v>
      </c>
      <c r="D4" s="8">
        <v>50</v>
      </c>
      <c r="E4" s="8">
        <v>35</v>
      </c>
      <c r="F4" s="7" t="s">
        <v>70</v>
      </c>
      <c r="G4" s="7" t="str">
        <f>IF(Table1[[#This Row],[Price ($)]]&gt;=500,"Higher Price","Standard Price")</f>
        <v>Standard Price</v>
      </c>
      <c r="H4" s="7" t="str">
        <f>LEFT(Table1[[#This Row],[Product ID]],2)</f>
        <v>21</v>
      </c>
      <c r="I4" s="7" t="str">
        <f>RIGHT(Table1[[#This Row],[Product ID]],2)</f>
        <v>CA</v>
      </c>
      <c r="J4" s="9" t="str">
        <f>MID(Table1[[#This Row],[Product ID]],4,3)</f>
        <v>AUG</v>
      </c>
    </row>
    <row r="5" spans="1:10" ht="15.75" customHeight="1" x14ac:dyDescent="0.25">
      <c r="A5" s="7" t="s">
        <v>67</v>
      </c>
      <c r="B5" s="7" t="s">
        <v>68</v>
      </c>
      <c r="C5" s="7" t="s">
        <v>69</v>
      </c>
      <c r="D5" s="8">
        <v>50</v>
      </c>
      <c r="E5" s="8">
        <v>35</v>
      </c>
      <c r="F5" s="7" t="s">
        <v>70</v>
      </c>
      <c r="G5" s="7" t="str">
        <f>IF(Table1[[#This Row],[Price ($)]]&gt;=500,"Higher Price","Standard Price")</f>
        <v>Standard Price</v>
      </c>
      <c r="H5" s="7" t="str">
        <f>LEFT(Table1[[#This Row],[Product ID]],2)</f>
        <v>21</v>
      </c>
      <c r="I5" s="7" t="str">
        <f>RIGHT(Table1[[#This Row],[Product ID]],2)</f>
        <v>CA</v>
      </c>
      <c r="J5" s="9" t="str">
        <f>MID(Table1[[#This Row],[Product ID]],4,3)</f>
        <v>AUG</v>
      </c>
    </row>
    <row r="6" spans="1:10" ht="15.75" customHeight="1" x14ac:dyDescent="0.25">
      <c r="A6" s="7" t="s">
        <v>104</v>
      </c>
      <c r="B6" s="7" t="s">
        <v>105</v>
      </c>
      <c r="C6" s="7" t="s">
        <v>106</v>
      </c>
      <c r="D6" s="8">
        <v>50</v>
      </c>
      <c r="E6" s="8">
        <v>50</v>
      </c>
      <c r="F6" s="7" t="s">
        <v>30</v>
      </c>
      <c r="G6" s="7" t="str">
        <f>IF(Table1[[#This Row],[Price ($)]]&gt;=500,"Higher Price","Standard Price")</f>
        <v>Standard Price</v>
      </c>
      <c r="H6" s="7" t="str">
        <f>LEFT(Table1[[#This Row],[Product ID]],2)</f>
        <v>02</v>
      </c>
      <c r="I6" s="7" t="str">
        <f>RIGHT(Table1[[#This Row],[Product ID]],2)</f>
        <v>CA</v>
      </c>
      <c r="J6" s="9" t="str">
        <f>MID(Table1[[#This Row],[Product ID]],4,3)</f>
        <v>DEC</v>
      </c>
    </row>
    <row r="7" spans="1:10" ht="15.75" customHeight="1" x14ac:dyDescent="0.25">
      <c r="A7" s="2" t="s">
        <v>96</v>
      </c>
      <c r="B7" s="2" t="s">
        <v>97</v>
      </c>
      <c r="C7" s="2" t="s">
        <v>98</v>
      </c>
      <c r="D7" s="6">
        <v>60</v>
      </c>
      <c r="E7" s="6">
        <v>30</v>
      </c>
      <c r="F7" s="2" t="s">
        <v>30</v>
      </c>
      <c r="G7" s="7" t="str">
        <f>IF(Table1[[#This Row],[Price ($)]]&gt;=500,"Higher Price","Standard Price")</f>
        <v>Standard Price</v>
      </c>
      <c r="H7" s="7" t="str">
        <f>LEFT(Table1[[#This Row],[Product ID]],2)</f>
        <v>07</v>
      </c>
      <c r="I7" s="7" t="str">
        <f>RIGHT(Table1[[#This Row],[Product ID]],2)</f>
        <v>CA</v>
      </c>
      <c r="J7" s="9" t="str">
        <f>MID(Table1[[#This Row],[Product ID]],4,3)</f>
        <v>MAR</v>
      </c>
    </row>
    <row r="8" spans="1:10" ht="15.75" customHeight="1" x14ac:dyDescent="0.25">
      <c r="A8" s="2" t="s">
        <v>38</v>
      </c>
      <c r="B8" s="2" t="s">
        <v>39</v>
      </c>
      <c r="C8" s="2" t="s">
        <v>40</v>
      </c>
      <c r="D8" s="6">
        <v>70</v>
      </c>
      <c r="E8" s="6">
        <v>20</v>
      </c>
      <c r="F8" s="2" t="s">
        <v>41</v>
      </c>
      <c r="G8" s="7" t="str">
        <f>IF(Table1[[#This Row],[Price ($)]]&gt;=500,"Higher Price","Standard Price")</f>
        <v>Standard Price</v>
      </c>
      <c r="H8" s="7" t="str">
        <f>LEFT(Table1[[#This Row],[Product ID]],2)</f>
        <v>22</v>
      </c>
      <c r="I8" s="7" t="str">
        <f>RIGHT(Table1[[#This Row],[Product ID]],2)</f>
        <v>US</v>
      </c>
      <c r="J8" s="9" t="str">
        <f>MID(Table1[[#This Row],[Product ID]],4,3)</f>
        <v>MAY</v>
      </c>
    </row>
    <row r="9" spans="1:10" ht="15.75" customHeight="1" x14ac:dyDescent="0.25">
      <c r="A9" s="7" t="s">
        <v>27</v>
      </c>
      <c r="B9" s="7" t="s">
        <v>28</v>
      </c>
      <c r="C9" s="7" t="s">
        <v>29</v>
      </c>
      <c r="D9" s="8">
        <v>80</v>
      </c>
      <c r="E9" s="8">
        <v>15</v>
      </c>
      <c r="F9" s="7" t="s">
        <v>30</v>
      </c>
      <c r="G9" s="7" t="str">
        <f>IF(Table1[[#This Row],[Price ($)]]&gt;=500,"Higher Price","Standard Price")</f>
        <v>Standard Price</v>
      </c>
      <c r="H9" s="7" t="str">
        <f>LEFT(Table1[[#This Row],[Product ID]],2)</f>
        <v>15</v>
      </c>
      <c r="I9" s="7" t="str">
        <f>RIGHT(Table1[[#This Row],[Product ID]],2)</f>
        <v>US</v>
      </c>
      <c r="J9" s="9" t="str">
        <f>MID(Table1[[#This Row],[Product ID]],4,3)</f>
        <v>FEB</v>
      </c>
    </row>
    <row r="10" spans="1:10" ht="15.75" customHeight="1" x14ac:dyDescent="0.25">
      <c r="A10" s="7" t="s">
        <v>84</v>
      </c>
      <c r="B10" s="7" t="s">
        <v>85</v>
      </c>
      <c r="C10" s="7" t="s">
        <v>86</v>
      </c>
      <c r="D10" s="8">
        <v>80</v>
      </c>
      <c r="E10" s="8">
        <v>20</v>
      </c>
      <c r="F10" s="7" t="s">
        <v>34</v>
      </c>
      <c r="G10" s="7" t="str">
        <f>IF(Table1[[#This Row],[Price ($)]]&gt;=500,"Higher Price","Standard Price")</f>
        <v>Standard Price</v>
      </c>
      <c r="H10" s="7" t="str">
        <f>LEFT(Table1[[#This Row],[Product ID]],2)</f>
        <v>09</v>
      </c>
      <c r="I10" s="7" t="str">
        <f>RIGHT(Table1[[#This Row],[Product ID]],2)</f>
        <v>CA</v>
      </c>
      <c r="J10" s="9" t="str">
        <f>MID(Table1[[#This Row],[Product ID]],4,3)</f>
        <v>JAN</v>
      </c>
    </row>
    <row r="11" spans="1:10" ht="15.75" customHeight="1" x14ac:dyDescent="0.25">
      <c r="A11" s="7" t="s">
        <v>48</v>
      </c>
      <c r="B11" s="7" t="s">
        <v>49</v>
      </c>
      <c r="C11" s="7" t="s">
        <v>50</v>
      </c>
      <c r="D11" s="8">
        <v>90</v>
      </c>
      <c r="E11" s="8">
        <v>35</v>
      </c>
      <c r="F11" s="7" t="s">
        <v>34</v>
      </c>
      <c r="G11" s="7" t="str">
        <f>IF(Table1[[#This Row],[Price ($)]]&gt;=500,"Higher Price","Standard Price")</f>
        <v>Standard Price</v>
      </c>
      <c r="H11" s="7" t="str">
        <f>LEFT(Table1[[#This Row],[Product ID]],2)</f>
        <v>23</v>
      </c>
      <c r="I11" s="7" t="str">
        <f>RIGHT(Table1[[#This Row],[Product ID]],2)</f>
        <v>UK</v>
      </c>
      <c r="J11" s="9" t="str">
        <f>MID(Table1[[#This Row],[Product ID]],4,3)</f>
        <v>AUG</v>
      </c>
    </row>
    <row r="12" spans="1:10" ht="15.75" customHeight="1" x14ac:dyDescent="0.25">
      <c r="A12" s="7" t="s">
        <v>59</v>
      </c>
      <c r="B12" s="7" t="s">
        <v>28</v>
      </c>
      <c r="C12" s="7" t="s">
        <v>47</v>
      </c>
      <c r="D12" s="8">
        <v>90</v>
      </c>
      <c r="E12" s="8">
        <v>40</v>
      </c>
      <c r="F12" s="7" t="s">
        <v>30</v>
      </c>
      <c r="G12" s="7" t="str">
        <f>IF(Table1[[#This Row],[Price ($)]]&gt;=500,"Higher Price","Standard Price")</f>
        <v>Standard Price</v>
      </c>
      <c r="H12" s="7" t="str">
        <f>LEFT(Table1[[#This Row],[Product ID]],2)</f>
        <v>25</v>
      </c>
      <c r="I12" s="7" t="str">
        <f>RIGHT(Table1[[#This Row],[Product ID]],2)</f>
        <v>AU</v>
      </c>
      <c r="J12" s="9" t="str">
        <f>MID(Table1[[#This Row],[Product ID]],4,3)</f>
        <v>NOV</v>
      </c>
    </row>
    <row r="13" spans="1:10" ht="15.75" customHeight="1" x14ac:dyDescent="0.25">
      <c r="A13" s="7" t="s">
        <v>107</v>
      </c>
      <c r="B13" s="7" t="s">
        <v>108</v>
      </c>
      <c r="C13" s="7" t="s">
        <v>109</v>
      </c>
      <c r="D13" s="8">
        <v>100</v>
      </c>
      <c r="E13" s="8">
        <v>20</v>
      </c>
      <c r="F13" s="7" t="s">
        <v>70</v>
      </c>
      <c r="G13" s="7" t="str">
        <f>IF(Table1[[#This Row],[Price ($)]]&gt;=500,"Higher Price","Standard Price")</f>
        <v>Standard Price</v>
      </c>
      <c r="H13" s="7" t="str">
        <f>LEFT(Table1[[#This Row],[Product ID]],2)</f>
        <v>09</v>
      </c>
      <c r="I13" s="7" t="str">
        <f>RIGHT(Table1[[#This Row],[Product ID]],2)</f>
        <v>FR</v>
      </c>
      <c r="J13" s="9" t="str">
        <f>MID(Table1[[#This Row],[Product ID]],4,3)</f>
        <v>JUL</v>
      </c>
    </row>
    <row r="14" spans="1:10" ht="15.75" customHeight="1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s="7" t="str">
        <f>IF(Table1[[#This Row],[Price ($)]]&gt;=500,"Higher Price","Standard Price")</f>
        <v>Standard Price</v>
      </c>
      <c r="H14" s="7" t="str">
        <f>LEFT(Table1[[#This Row],[Product ID]],2)</f>
        <v>08</v>
      </c>
      <c r="I14" s="7" t="str">
        <f>RIGHT(Table1[[#This Row],[Product ID]],2)</f>
        <v>DE</v>
      </c>
      <c r="J14" s="9" t="str">
        <f>MID(Table1[[#This Row],[Product ID]],4,3)</f>
        <v>DEC</v>
      </c>
    </row>
    <row r="15" spans="1:10" ht="15.75" customHeight="1" x14ac:dyDescent="0.25">
      <c r="A15" s="2" t="s">
        <v>31</v>
      </c>
      <c r="B15" s="2" t="s">
        <v>32</v>
      </c>
      <c r="C15" s="2" t="s">
        <v>33</v>
      </c>
      <c r="D15" s="6">
        <v>130</v>
      </c>
      <c r="E15" s="6">
        <v>40</v>
      </c>
      <c r="F15" s="2" t="s">
        <v>34</v>
      </c>
      <c r="G15" s="7" t="str">
        <f>IF(Table1[[#This Row],[Price ($)]]&gt;=500,"Higher Price","Standard Price")</f>
        <v>Standard Price</v>
      </c>
      <c r="H15" s="7" t="str">
        <f>LEFT(Table1[[#This Row],[Product ID]],2)</f>
        <v>03</v>
      </c>
      <c r="I15" s="7" t="str">
        <f>RIGHT(Table1[[#This Row],[Product ID]],2)</f>
        <v>US</v>
      </c>
      <c r="J15" s="9" t="str">
        <f>MID(Table1[[#This Row],[Product ID]],4,3)</f>
        <v>MAR</v>
      </c>
    </row>
    <row r="16" spans="1:10" ht="15.75" customHeight="1" x14ac:dyDescent="0.25">
      <c r="A16" s="7" t="s">
        <v>54</v>
      </c>
      <c r="B16" s="7" t="s">
        <v>55</v>
      </c>
      <c r="C16" s="7" t="s">
        <v>56</v>
      </c>
      <c r="D16" s="8">
        <v>130</v>
      </c>
      <c r="E16" s="8">
        <v>10</v>
      </c>
      <c r="F16" s="7" t="s">
        <v>41</v>
      </c>
      <c r="G16" s="7" t="str">
        <f>IF(Table1[[#This Row],[Price ($)]]&gt;=500,"Higher Price","Standard Price")</f>
        <v>Standard Price</v>
      </c>
      <c r="H16" s="7" t="str">
        <f>LEFT(Table1[[#This Row],[Product ID]],2)</f>
        <v>14</v>
      </c>
      <c r="I16" s="7" t="str">
        <f>RIGHT(Table1[[#This Row],[Product ID]],2)</f>
        <v>UK</v>
      </c>
      <c r="J16" s="9" t="str">
        <f>MID(Table1[[#This Row],[Product ID]],4,3)</f>
        <v>OCT</v>
      </c>
    </row>
    <row r="17" spans="1:10" ht="15.75" customHeight="1" x14ac:dyDescent="0.25">
      <c r="A17" s="7" t="s">
        <v>92</v>
      </c>
      <c r="B17" s="7" t="s">
        <v>76</v>
      </c>
      <c r="C17" s="7" t="s">
        <v>93</v>
      </c>
      <c r="D17" s="8">
        <v>130</v>
      </c>
      <c r="E17" s="8">
        <v>25</v>
      </c>
      <c r="F17" s="7" t="s">
        <v>30</v>
      </c>
      <c r="G17" s="7" t="str">
        <f>IF(Table1[[#This Row],[Price ($)]]&gt;=500,"Higher Price","Standard Price")</f>
        <v>Standard Price</v>
      </c>
      <c r="H17" s="7" t="str">
        <f>LEFT(Table1[[#This Row],[Product ID]],2)</f>
        <v>03</v>
      </c>
      <c r="I17" s="7" t="str">
        <f>RIGHT(Table1[[#This Row],[Product ID]],2)</f>
        <v>CA</v>
      </c>
      <c r="J17" s="9" t="str">
        <f>MID(Table1[[#This Row],[Product ID]],4,3)</f>
        <v>JUN</v>
      </c>
    </row>
    <row r="18" spans="1:10" ht="15.75" customHeight="1" x14ac:dyDescent="0.25">
      <c r="A18" s="2" t="s">
        <v>102</v>
      </c>
      <c r="B18" s="2" t="s">
        <v>88</v>
      </c>
      <c r="C18" s="2" t="s">
        <v>103</v>
      </c>
      <c r="D18" s="6">
        <v>130</v>
      </c>
      <c r="E18" s="6">
        <v>5</v>
      </c>
      <c r="F18" s="2" t="s">
        <v>26</v>
      </c>
      <c r="G18" s="7" t="str">
        <f>IF(Table1[[#This Row],[Price ($)]]&gt;=500,"Higher Price","Standard Price")</f>
        <v>Standard Price</v>
      </c>
      <c r="H18" s="7" t="str">
        <f>LEFT(Table1[[#This Row],[Product ID]],2)</f>
        <v>24</v>
      </c>
      <c r="I18" s="7" t="str">
        <f>RIGHT(Table1[[#This Row],[Product ID]],2)</f>
        <v>CA</v>
      </c>
      <c r="J18" s="9" t="str">
        <f>MID(Table1[[#This Row],[Product ID]],4,3)</f>
        <v>MAY</v>
      </c>
    </row>
    <row r="19" spans="1:10" ht="15.75" customHeight="1" x14ac:dyDescent="0.25">
      <c r="A19" s="7" t="s">
        <v>62</v>
      </c>
      <c r="B19" s="7" t="s">
        <v>63</v>
      </c>
      <c r="C19" s="7" t="s">
        <v>64</v>
      </c>
      <c r="D19" s="8">
        <v>150</v>
      </c>
      <c r="E19" s="8">
        <v>15</v>
      </c>
      <c r="F19" s="7" t="s">
        <v>26</v>
      </c>
      <c r="G19" s="7" t="str">
        <f>IF(Table1[[#This Row],[Price ($)]]&gt;=500,"Higher Price","Standard Price")</f>
        <v>Standard Price</v>
      </c>
      <c r="H19" s="7" t="str">
        <f>LEFT(Table1[[#This Row],[Product ID]],2)</f>
        <v>18</v>
      </c>
      <c r="I19" s="7" t="str">
        <f>RIGHT(Table1[[#This Row],[Product ID]],2)</f>
        <v>CA</v>
      </c>
      <c r="J19" s="9" t="str">
        <f>MID(Table1[[#This Row],[Product ID]],4,3)</f>
        <v>FEB</v>
      </c>
    </row>
    <row r="20" spans="1:10" ht="15.75" customHeight="1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s="7" t="str">
        <f>IF(Table1[[#This Row],[Price ($)]]&gt;=500,"Higher Price","Standard Price")</f>
        <v>Standard Price</v>
      </c>
      <c r="H20" s="7" t="str">
        <f>LEFT(Table1[[#This Row],[Product ID]],2)</f>
        <v>01</v>
      </c>
      <c r="I20" s="7" t="str">
        <f>RIGHT(Table1[[#This Row],[Product ID]],2)</f>
        <v>UK</v>
      </c>
      <c r="J20" s="9" t="str">
        <f>MID(Table1[[#This Row],[Product ID]],4,3)</f>
        <v>MAR</v>
      </c>
    </row>
    <row r="21" spans="1:10" ht="15.75" customHeight="1" x14ac:dyDescent="0.25">
      <c r="A21" s="2" t="s">
        <v>87</v>
      </c>
      <c r="B21" s="2" t="s">
        <v>88</v>
      </c>
      <c r="C21" s="2" t="s">
        <v>89</v>
      </c>
      <c r="D21" s="6">
        <v>150</v>
      </c>
      <c r="E21" s="6">
        <v>30</v>
      </c>
      <c r="F21" s="2" t="s">
        <v>26</v>
      </c>
      <c r="G21" s="7" t="str">
        <f>IF(Table1[[#This Row],[Price ($)]]&gt;=500,"Higher Price","Standard Price")</f>
        <v>Standard Price</v>
      </c>
      <c r="H21" s="7" t="str">
        <f>LEFT(Table1[[#This Row],[Product ID]],2)</f>
        <v>19</v>
      </c>
      <c r="I21" s="7" t="str">
        <f>RIGHT(Table1[[#This Row],[Product ID]],2)</f>
        <v>BR</v>
      </c>
      <c r="J21" s="9" t="str">
        <f>MID(Table1[[#This Row],[Product ID]],4,3)</f>
        <v>JUL</v>
      </c>
    </row>
    <row r="22" spans="1:10" ht="15.75" customHeight="1" x14ac:dyDescent="0.25">
      <c r="A22" s="2" t="s">
        <v>71</v>
      </c>
      <c r="B22" s="2" t="s">
        <v>63</v>
      </c>
      <c r="C22" s="2" t="s">
        <v>72</v>
      </c>
      <c r="D22" s="6">
        <v>160</v>
      </c>
      <c r="E22" s="6">
        <v>15</v>
      </c>
      <c r="F22" s="2" t="s">
        <v>26</v>
      </c>
      <c r="G22" s="7" t="str">
        <f>IF(Table1[[#This Row],[Price ($)]]&gt;=500,"Higher Price","Standard Price")</f>
        <v>Standard Price</v>
      </c>
      <c r="H22" s="7" t="str">
        <f>LEFT(Table1[[#This Row],[Product ID]],2)</f>
        <v>20</v>
      </c>
      <c r="I22" s="7" t="str">
        <f>RIGHT(Table1[[#This Row],[Product ID]],2)</f>
        <v>CN</v>
      </c>
      <c r="J22" s="9" t="str">
        <f>MID(Table1[[#This Row],[Product ID]],4,3)</f>
        <v>AUG</v>
      </c>
    </row>
    <row r="23" spans="1:10" ht="15.75" customHeight="1" x14ac:dyDescent="0.25">
      <c r="A23" s="7" t="s">
        <v>42</v>
      </c>
      <c r="B23" s="7" t="s">
        <v>43</v>
      </c>
      <c r="C23" s="7" t="s">
        <v>44</v>
      </c>
      <c r="D23" s="8">
        <v>200</v>
      </c>
      <c r="E23" s="8">
        <v>45</v>
      </c>
      <c r="F23" s="7" t="s">
        <v>26</v>
      </c>
      <c r="G23" s="7" t="str">
        <f>IF(Table1[[#This Row],[Price ($)]]&gt;=500,"Higher Price","Standard Price")</f>
        <v>Standard Price</v>
      </c>
      <c r="H23" s="7" t="str">
        <f>LEFT(Table1[[#This Row],[Product ID]],2)</f>
        <v>07</v>
      </c>
      <c r="I23" s="7" t="str">
        <f>RIGHT(Table1[[#This Row],[Product ID]],2)</f>
        <v>UK</v>
      </c>
      <c r="J23" s="9" t="str">
        <f>MID(Table1[[#This Row],[Product ID]],4,3)</f>
        <v>JUN</v>
      </c>
    </row>
    <row r="24" spans="1:10" ht="12.5" x14ac:dyDescent="0.25">
      <c r="A24" s="7" t="s">
        <v>78</v>
      </c>
      <c r="B24" s="7" t="s">
        <v>79</v>
      </c>
      <c r="C24" s="7" t="s">
        <v>80</v>
      </c>
      <c r="D24" s="8">
        <v>200</v>
      </c>
      <c r="E24" s="8">
        <v>10</v>
      </c>
      <c r="F24" s="7" t="s">
        <v>41</v>
      </c>
      <c r="G24" s="7" t="str">
        <f>IF(Table1[[#This Row],[Price ($)]]&gt;=500,"Higher Price","Standard Price")</f>
        <v>Standard Price</v>
      </c>
      <c r="H24" s="7" t="str">
        <f>LEFT(Table1[[#This Row],[Product ID]],2)</f>
        <v>14</v>
      </c>
      <c r="I24" s="7" t="str">
        <f>RIGHT(Table1[[#This Row],[Product ID]],2)</f>
        <v>US</v>
      </c>
      <c r="J24" s="9" t="str">
        <f>MID(Table1[[#This Row],[Product ID]],4,3)</f>
        <v>AUG</v>
      </c>
    </row>
    <row r="25" spans="1:10" ht="12.5" x14ac:dyDescent="0.25">
      <c r="A25" s="7" t="s">
        <v>65</v>
      </c>
      <c r="B25" s="7" t="s">
        <v>43</v>
      </c>
      <c r="C25" s="7" t="s">
        <v>66</v>
      </c>
      <c r="D25" s="8">
        <v>230</v>
      </c>
      <c r="E25" s="8">
        <v>20</v>
      </c>
      <c r="F25" s="7" t="s">
        <v>26</v>
      </c>
      <c r="G25" s="7" t="str">
        <f>IF(Table1[[#This Row],[Price ($)]]&gt;=500,"Higher Price","Standard Price")</f>
        <v>Standard Price</v>
      </c>
      <c r="H25" s="7" t="str">
        <f>LEFT(Table1[[#This Row],[Product ID]],2)</f>
        <v>16</v>
      </c>
      <c r="I25" s="7" t="str">
        <f>RIGHT(Table1[[#This Row],[Product ID]],2)</f>
        <v>ES</v>
      </c>
      <c r="J25" s="9" t="str">
        <f>MID(Table1[[#This Row],[Product ID]],4,3)</f>
        <v>APR</v>
      </c>
    </row>
    <row r="26" spans="1:10" ht="12.5" x14ac:dyDescent="0.25">
      <c r="A26" s="2" t="s">
        <v>65</v>
      </c>
      <c r="B26" s="2" t="s">
        <v>43</v>
      </c>
      <c r="C26" s="2" t="s">
        <v>66</v>
      </c>
      <c r="D26" s="6">
        <v>250</v>
      </c>
      <c r="E26" s="6">
        <v>20</v>
      </c>
      <c r="F26" s="2" t="s">
        <v>26</v>
      </c>
      <c r="G26" s="7" t="str">
        <f>IF(Table1[[#This Row],[Price ($)]]&gt;=500,"Higher Price","Standard Price")</f>
        <v>Standard Price</v>
      </c>
      <c r="H26" s="7" t="str">
        <f>LEFT(Table1[[#This Row],[Product ID]],2)</f>
        <v>16</v>
      </c>
      <c r="I26" s="7" t="str">
        <f>RIGHT(Table1[[#This Row],[Product ID]],2)</f>
        <v>ES</v>
      </c>
      <c r="J26" s="9" t="str">
        <f>MID(Table1[[#This Row],[Product ID]],4,3)</f>
        <v>APR</v>
      </c>
    </row>
    <row r="27" spans="1:10" ht="12.5" x14ac:dyDescent="0.25">
      <c r="A27" s="2" t="s">
        <v>94</v>
      </c>
      <c r="B27" s="2" t="s">
        <v>49</v>
      </c>
      <c r="C27" s="2" t="s">
        <v>95</v>
      </c>
      <c r="D27" s="6">
        <v>400</v>
      </c>
      <c r="E27" s="6">
        <v>40</v>
      </c>
      <c r="F27" s="2" t="s">
        <v>34</v>
      </c>
      <c r="G27" s="7" t="str">
        <f>IF(Table1[[#This Row],[Price ($)]]&gt;=500,"Higher Price","Standard Price")</f>
        <v>Standard Price</v>
      </c>
      <c r="H27" s="7" t="str">
        <f>LEFT(Table1[[#This Row],[Product ID]],2)</f>
        <v>11</v>
      </c>
      <c r="I27" s="7" t="str">
        <f>RIGHT(Table1[[#This Row],[Product ID]],2)</f>
        <v>CA</v>
      </c>
      <c r="J27" s="9" t="str">
        <f>MID(Table1[[#This Row],[Product ID]],4,3)</f>
        <v>JUL</v>
      </c>
    </row>
    <row r="28" spans="1:10" ht="12.5" x14ac:dyDescent="0.25">
      <c r="A28" s="2" t="s">
        <v>51</v>
      </c>
      <c r="B28" s="2" t="s">
        <v>52</v>
      </c>
      <c r="C28" s="2" t="s">
        <v>53</v>
      </c>
      <c r="D28" s="6">
        <v>500</v>
      </c>
      <c r="E28" s="6">
        <v>50</v>
      </c>
      <c r="F28" s="2" t="s">
        <v>26</v>
      </c>
      <c r="G28" s="7" t="str">
        <f>IF(Table1[[#This Row],[Price ($)]]&gt;=500,"Higher Price","Standard Price")</f>
        <v>Higher Price</v>
      </c>
      <c r="H28" s="7" t="str">
        <f>LEFT(Table1[[#This Row],[Product ID]],2)</f>
        <v>05</v>
      </c>
      <c r="I28" s="7" t="str">
        <f>RIGHT(Table1[[#This Row],[Product ID]],2)</f>
        <v>UK</v>
      </c>
      <c r="J28" s="9" t="str">
        <f>MID(Table1[[#This Row],[Product ID]],4,3)</f>
        <v>SEP</v>
      </c>
    </row>
    <row r="29" spans="1:10" ht="12.5" x14ac:dyDescent="0.25">
      <c r="A29" s="2" t="s">
        <v>81</v>
      </c>
      <c r="B29" s="2" t="s">
        <v>82</v>
      </c>
      <c r="C29" s="2" t="s">
        <v>83</v>
      </c>
      <c r="D29" s="6">
        <v>700</v>
      </c>
      <c r="E29" s="6">
        <v>50</v>
      </c>
      <c r="F29" s="2" t="s">
        <v>26</v>
      </c>
      <c r="G29" s="7" t="str">
        <f>IF(Table1[[#This Row],[Price ($)]]&gt;=500,"Higher Price","Standard Price")</f>
        <v>Higher Price</v>
      </c>
      <c r="H29" s="7" t="str">
        <f>LEFT(Table1[[#This Row],[Product ID]],2)</f>
        <v>14</v>
      </c>
      <c r="I29" s="7" t="str">
        <f>RIGHT(Table1[[#This Row],[Product ID]],2)</f>
        <v>RU</v>
      </c>
      <c r="J29" s="9" t="str">
        <f>MID(Table1[[#This Row],[Product ID]],4,3)</f>
        <v>MAY</v>
      </c>
    </row>
    <row r="30" spans="1:10" ht="12.5" x14ac:dyDescent="0.25">
      <c r="A30" s="2" t="s">
        <v>90</v>
      </c>
      <c r="B30" s="2" t="s">
        <v>36</v>
      </c>
      <c r="C30" s="2" t="s">
        <v>91</v>
      </c>
      <c r="D30" s="6">
        <v>800</v>
      </c>
      <c r="E30" s="6">
        <v>45</v>
      </c>
      <c r="F30" s="2" t="s">
        <v>26</v>
      </c>
      <c r="G30" s="7" t="str">
        <f>IF(Table1[[#This Row],[Price ($)]]&gt;=500,"Higher Price","Standard Price")</f>
        <v>Higher Price</v>
      </c>
      <c r="H30" s="7" t="str">
        <f>LEFT(Table1[[#This Row],[Product ID]],2)</f>
        <v>29</v>
      </c>
      <c r="I30" s="7" t="str">
        <f>RIGHT(Table1[[#This Row],[Product ID]],2)</f>
        <v>CA</v>
      </c>
      <c r="J30" s="9" t="str">
        <f>MID(Table1[[#This Row],[Product ID]],4,3)</f>
        <v>SEP</v>
      </c>
    </row>
    <row r="31" spans="1:10" ht="12.5" x14ac:dyDescent="0.25">
      <c r="A31" s="7" t="s">
        <v>35</v>
      </c>
      <c r="B31" s="7" t="s">
        <v>36</v>
      </c>
      <c r="C31" s="7" t="s">
        <v>37</v>
      </c>
      <c r="D31" s="8">
        <v>900</v>
      </c>
      <c r="E31" s="8">
        <v>25</v>
      </c>
      <c r="F31" s="7" t="s">
        <v>26</v>
      </c>
      <c r="G31" s="7" t="str">
        <f>IF(Table1[[#This Row],[Price ($)]]&gt;=500,"Higher Price","Standard Price")</f>
        <v>Higher Price</v>
      </c>
      <c r="H31" s="7" t="str">
        <f>LEFT(Table1[[#This Row],[Product ID]],2)</f>
        <v>11</v>
      </c>
      <c r="I31" s="7" t="str">
        <f>RIGHT(Table1[[#This Row],[Product ID]],2)</f>
        <v>US</v>
      </c>
      <c r="J31" s="9" t="str">
        <f>MID(Table1[[#This Row],[Product ID]],4,3)</f>
        <v>APR</v>
      </c>
    </row>
    <row r="32" spans="1:10" ht="12.5" x14ac:dyDescent="0.25">
      <c r="A32" s="2" t="s">
        <v>57</v>
      </c>
      <c r="B32" s="2" t="s">
        <v>24</v>
      </c>
      <c r="C32" s="2" t="s">
        <v>58</v>
      </c>
      <c r="D32" s="6">
        <v>950</v>
      </c>
      <c r="E32" s="6">
        <v>25</v>
      </c>
      <c r="F32" s="2" t="s">
        <v>26</v>
      </c>
      <c r="G32" s="7" t="str">
        <f>IF(Table1[[#This Row],[Price ($)]]&gt;=500,"Higher Price","Standard Price")</f>
        <v>Higher Price</v>
      </c>
      <c r="H32" s="7" t="str">
        <f>LEFT(Table1[[#This Row],[Product ID]],2)</f>
        <v>17</v>
      </c>
      <c r="I32" s="7" t="str">
        <f>RIGHT(Table1[[#This Row],[Product ID]],2)</f>
        <v>IN</v>
      </c>
      <c r="J32" s="9" t="str">
        <f>MID(Table1[[#This Row],[Product ID]],4,3)</f>
        <v>JUN</v>
      </c>
    </row>
    <row r="33" spans="1:10" ht="12.5" x14ac:dyDescent="0.25">
      <c r="A33" s="2" t="s">
        <v>57</v>
      </c>
      <c r="B33" s="2" t="s">
        <v>24</v>
      </c>
      <c r="C33" s="2" t="s">
        <v>58</v>
      </c>
      <c r="D33" s="6">
        <v>950</v>
      </c>
      <c r="E33" s="6">
        <v>25</v>
      </c>
      <c r="F33" s="2" t="s">
        <v>26</v>
      </c>
      <c r="G33" s="7" t="str">
        <f>IF(Table1[[#This Row],[Price ($)]]&gt;=500,"Higher Price","Standard Price")</f>
        <v>Higher Price</v>
      </c>
      <c r="H33" s="7" t="str">
        <f>LEFT(Table1[[#This Row],[Product ID]],2)</f>
        <v>17</v>
      </c>
      <c r="I33" s="7" t="str">
        <f>RIGHT(Table1[[#This Row],[Product ID]],2)</f>
        <v>IN</v>
      </c>
      <c r="J33" s="9" t="str">
        <f>MID(Table1[[#This Row],[Product ID]],4,3)</f>
        <v>JUN</v>
      </c>
    </row>
    <row r="34" spans="1:10" ht="12.5" x14ac:dyDescent="0.25">
      <c r="A34" s="7" t="s">
        <v>73</v>
      </c>
      <c r="B34" s="7" t="s">
        <v>24</v>
      </c>
      <c r="C34" s="7" t="s">
        <v>74</v>
      </c>
      <c r="D34" s="8">
        <v>980</v>
      </c>
      <c r="E34" s="8">
        <v>10</v>
      </c>
      <c r="F34" s="7" t="s">
        <v>26</v>
      </c>
      <c r="G34" s="7" t="str">
        <f>IF(Table1[[#This Row],[Price ($)]]&gt;=500,"Higher Price","Standard Price")</f>
        <v>Higher Price</v>
      </c>
      <c r="H34" s="7" t="str">
        <f>LEFT(Table1[[#This Row],[Product ID]],2)</f>
        <v>27</v>
      </c>
      <c r="I34" s="7" t="str">
        <f>RIGHT(Table1[[#This Row],[Product ID]],2)</f>
        <v>IT</v>
      </c>
      <c r="J34" s="9" t="str">
        <f>MID(Table1[[#This Row],[Product ID]],4,3)</f>
        <v>JAN</v>
      </c>
    </row>
    <row r="35" spans="1:10" ht="12.5" x14ac:dyDescent="0.25">
      <c r="A35" s="2" t="s">
        <v>23</v>
      </c>
      <c r="B35" s="2" t="s">
        <v>24</v>
      </c>
      <c r="C35" s="2" t="s">
        <v>25</v>
      </c>
      <c r="D35" s="6">
        <v>1000</v>
      </c>
      <c r="E35" s="6">
        <v>30</v>
      </c>
      <c r="F35" s="2" t="s">
        <v>26</v>
      </c>
      <c r="G35" s="7" t="str">
        <f>IF(Table1[[#This Row],[Price ($)]]&gt;=500,"Higher Price","Standard Price")</f>
        <v>Higher Price</v>
      </c>
      <c r="H35" s="7" t="str">
        <f>LEFT(Table1[[#This Row],[Product ID]],2)</f>
        <v>28</v>
      </c>
      <c r="I35" s="7" t="str">
        <f>RIGHT(Table1[[#This Row],[Product ID]],2)</f>
        <v>US</v>
      </c>
      <c r="J35" s="9" t="str">
        <f>MID(Table1[[#This Row],[Product ID]],4,3)</f>
        <v>JAN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Answers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Vinay</dc:creator>
  <cp:lastModifiedBy>Prudhvi Vinay</cp:lastModifiedBy>
  <dcterms:created xsi:type="dcterms:W3CDTF">2026-06-23T17:40:28Z</dcterms:created>
  <dcterms:modified xsi:type="dcterms:W3CDTF">2026-06-23T18:15:31Z</dcterms:modified>
</cp:coreProperties>
</file>