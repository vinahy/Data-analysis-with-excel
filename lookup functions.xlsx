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5E13038-0168-43FC-9D76-FA5DA3F23C74}" xr6:coauthVersionLast="47" xr6:coauthVersionMax="47" xr10:uidLastSave="{00000000-0000-0000-0000-000000000000}"/>
  <bookViews>
    <workbookView xWindow="-110" yWindow="-110" windowWidth="19420" windowHeight="11500" activeTab="3" xr2:uid="{A24A8ABD-40CF-4864-A98D-0D074A5BF66E}"/>
  </bookViews>
  <sheets>
    <sheet name="Adv Filters" sheetId="1" r:id="rId1"/>
    <sheet name="lookup functions" sheetId="2" r:id="rId2"/>
    <sheet name="data extraction by lookup func" sheetId="3" r:id="rId3"/>
    <sheet name="date func" sheetId="4" r:id="rId4"/>
  </sheets>
  <definedNames>
    <definedName name="_xlnm._FilterDatabase" localSheetId="0" hidden="1">'Adv Filters'!$A$1:$E$7</definedName>
    <definedName name="_xlnm.Criteria" localSheetId="0">'Adv Filters'!$A$9:$E$12</definedName>
    <definedName name="_xlnm.Extract" localSheetId="0">'Adv Filters'!$L$20:$P$20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4" i="4"/>
  <c r="C3" i="4"/>
  <c r="C2" i="4"/>
  <c r="C8" i="4" s="1"/>
  <c r="C7" i="3"/>
  <c r="C6" i="3"/>
  <c r="C3" i="3"/>
  <c r="C4" i="3"/>
  <c r="C5" i="3"/>
  <c r="C2" i="3"/>
  <c r="N10" i="2"/>
  <c r="J29" i="2"/>
  <c r="J27" i="2"/>
  <c r="D10" i="2"/>
  <c r="C12" i="4" l="1"/>
  <c r="C11" i="4"/>
  <c r="C9" i="4"/>
  <c r="C10" i="4" s="1"/>
</calcChain>
</file>

<file path=xl/sharedStrings.xml><?xml version="1.0" encoding="utf-8"?>
<sst xmlns="http://schemas.openxmlformats.org/spreadsheetml/2006/main" count="154" uniqueCount="36">
  <si>
    <t>Std.ID</t>
  </si>
  <si>
    <t>Name</t>
  </si>
  <si>
    <t>Dept</t>
  </si>
  <si>
    <t>Attendence</t>
  </si>
  <si>
    <t>CGPA</t>
  </si>
  <si>
    <t>Vinay</t>
  </si>
  <si>
    <t>AI&amp;DS</t>
  </si>
  <si>
    <t>Praveen</t>
  </si>
  <si>
    <t>CSE</t>
  </si>
  <si>
    <t>Ravi</t>
  </si>
  <si>
    <t>DS</t>
  </si>
  <si>
    <t>AI&amp;ML</t>
  </si>
  <si>
    <t>ML</t>
  </si>
  <si>
    <t>IT</t>
  </si>
  <si>
    <t>Deepthi</t>
  </si>
  <si>
    <t>Subbu</t>
  </si>
  <si>
    <t>Yaga</t>
  </si>
  <si>
    <t>&gt;75%</t>
  </si>
  <si>
    <t>vinay</t>
  </si>
  <si>
    <t>vlookup function</t>
  </si>
  <si>
    <t>=</t>
  </si>
  <si>
    <t>hlookup function</t>
  </si>
  <si>
    <t>xlookup function</t>
  </si>
  <si>
    <t>attendence</t>
  </si>
  <si>
    <t xml:space="preserve">Date Functions </t>
  </si>
  <si>
    <t>today</t>
  </si>
  <si>
    <t>now</t>
  </si>
  <si>
    <t xml:space="preserve">Date </t>
  </si>
  <si>
    <t>Day</t>
  </si>
  <si>
    <t>day</t>
  </si>
  <si>
    <t>month</t>
  </si>
  <si>
    <t>year</t>
  </si>
  <si>
    <t>text</t>
  </si>
  <si>
    <t>weekend</t>
  </si>
  <si>
    <t>edate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</si>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</sst>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0" xfId="0" applyBorder="1"/>
    <xf numFmtId="0" fontId="2" fillId="4" borderId="2" xfId="0" applyFont="1" applyFill="1" applyBorder="1" applyAlignment="1">
      <alignment horizontal="left" indent="4"/>
    </xf>
    <xf numFmtId="0" fontId="0" fillId="4" borderId="2" xfId="0" applyFill="1" applyBorder="1" applyAlignment="1">
      <alignment horizontal="left" indent="4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A0E7-0337-4F8D-9C7B-B110F47343E0}">
  <sheetPr filterMode="1"/>
  <dimension ref="A1:P24"/>
  <sheetViews>
    <sheetView workbookViewId="0">
      <selection sqref="A1:E7"/>
    </sheetView>
  </sheetViews>
  <sheetFormatPr defaultRowHeight="14.5" x14ac:dyDescent="0.35"/>
  <cols>
    <col min="3" max="3" width="8.453125" customWidth="1"/>
    <col min="4" max="4" width="10.7265625" customWidth="1"/>
  </cols>
  <sheetData>
    <row r="1" spans="1:16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6" x14ac:dyDescent="0.35">
      <c r="A2">
        <v>146</v>
      </c>
      <c r="B2" t="s">
        <v>5</v>
      </c>
      <c r="C2" t="s">
        <v>6</v>
      </c>
      <c r="D2" s="1">
        <v>0.75</v>
      </c>
      <c r="E2">
        <v>8.48</v>
      </c>
    </row>
    <row r="3" spans="1:16" x14ac:dyDescent="0.35">
      <c r="A3">
        <v>158</v>
      </c>
      <c r="B3" t="s">
        <v>7</v>
      </c>
      <c r="C3" t="s">
        <v>8</v>
      </c>
      <c r="D3" s="1">
        <v>0.62</v>
      </c>
      <c r="E3">
        <v>8</v>
      </c>
    </row>
    <row r="4" spans="1:16" x14ac:dyDescent="0.35">
      <c r="A4">
        <v>159</v>
      </c>
      <c r="B4" t="s">
        <v>9</v>
      </c>
      <c r="C4" t="s">
        <v>10</v>
      </c>
      <c r="D4" s="1">
        <v>0.68</v>
      </c>
      <c r="E4">
        <v>8.1999999999999993</v>
      </c>
    </row>
    <row r="5" spans="1:16" x14ac:dyDescent="0.35">
      <c r="A5">
        <v>150</v>
      </c>
      <c r="B5" t="s">
        <v>14</v>
      </c>
      <c r="C5" t="s">
        <v>11</v>
      </c>
      <c r="D5" s="1">
        <v>0.8</v>
      </c>
      <c r="E5">
        <v>8.3000000000000007</v>
      </c>
      <c r="L5" s="3" t="s">
        <v>0</v>
      </c>
      <c r="M5" s="3" t="s">
        <v>1</v>
      </c>
      <c r="N5" s="3" t="s">
        <v>2</v>
      </c>
      <c r="O5" s="3" t="s">
        <v>3</v>
      </c>
      <c r="P5" s="3" t="s">
        <v>4</v>
      </c>
    </row>
    <row r="6" spans="1:16" x14ac:dyDescent="0.35">
      <c r="A6">
        <v>148</v>
      </c>
      <c r="B6" t="s">
        <v>15</v>
      </c>
      <c r="C6" t="s">
        <v>12</v>
      </c>
      <c r="D6" s="1">
        <v>0.62</v>
      </c>
      <c r="E6">
        <v>8.1</v>
      </c>
      <c r="L6">
        <v>150</v>
      </c>
      <c r="M6" t="s">
        <v>14</v>
      </c>
      <c r="N6" t="s">
        <v>11</v>
      </c>
      <c r="O6" s="1">
        <v>0.8</v>
      </c>
      <c r="P6">
        <v>8.3000000000000007</v>
      </c>
    </row>
    <row r="7" spans="1:16" x14ac:dyDescent="0.35">
      <c r="A7">
        <v>195</v>
      </c>
      <c r="B7" t="s">
        <v>16</v>
      </c>
      <c r="C7" t="s">
        <v>13</v>
      </c>
      <c r="D7" s="1">
        <v>0.81</v>
      </c>
      <c r="E7">
        <v>7.9</v>
      </c>
      <c r="L7">
        <v>195</v>
      </c>
      <c r="M7" t="s">
        <v>16</v>
      </c>
      <c r="N7" t="s">
        <v>13</v>
      </c>
      <c r="O7" s="1">
        <v>0.81</v>
      </c>
      <c r="P7">
        <v>7.9</v>
      </c>
    </row>
    <row r="9" spans="1:16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</row>
    <row r="10" spans="1:16" x14ac:dyDescent="0.35">
      <c r="D10" t="s">
        <v>17</v>
      </c>
    </row>
    <row r="11" spans="1:16" x14ac:dyDescent="0.35">
      <c r="B11" t="s">
        <v>18</v>
      </c>
      <c r="L11" s="3" t="s">
        <v>0</v>
      </c>
      <c r="M11" s="3" t="s">
        <v>1</v>
      </c>
      <c r="N11" s="3" t="s">
        <v>2</v>
      </c>
      <c r="O11" s="3" t="s">
        <v>3</v>
      </c>
      <c r="P11" s="3" t="s">
        <v>4</v>
      </c>
    </row>
    <row r="12" spans="1:16" x14ac:dyDescent="0.35">
      <c r="B12" t="s">
        <v>9</v>
      </c>
      <c r="L12" s="3"/>
      <c r="M12" s="3"/>
      <c r="N12" s="3"/>
      <c r="O12" s="3"/>
      <c r="P12" s="3"/>
    </row>
    <row r="13" spans="1:16" x14ac:dyDescent="0.35">
      <c r="L13" s="3"/>
      <c r="M13" s="3"/>
      <c r="N13" s="3"/>
      <c r="O13" s="3"/>
      <c r="P13" s="3"/>
    </row>
    <row r="14" spans="1:16" x14ac:dyDescent="0.35">
      <c r="L14">
        <v>146</v>
      </c>
      <c r="M14" t="s">
        <v>5</v>
      </c>
      <c r="N14" t="s">
        <v>6</v>
      </c>
      <c r="O14" s="1">
        <v>0.75</v>
      </c>
      <c r="P14">
        <v>8.48</v>
      </c>
    </row>
    <row r="15" spans="1:16" x14ac:dyDescent="0.35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L15">
        <v>150</v>
      </c>
      <c r="M15" t="s">
        <v>14</v>
      </c>
      <c r="N15" t="s">
        <v>11</v>
      </c>
      <c r="O15" s="1">
        <v>0.8</v>
      </c>
      <c r="P15">
        <v>8.3000000000000007</v>
      </c>
    </row>
    <row r="16" spans="1:16" x14ac:dyDescent="0.35">
      <c r="A16">
        <v>146</v>
      </c>
      <c r="B16" t="s">
        <v>5</v>
      </c>
      <c r="C16" t="s">
        <v>6</v>
      </c>
      <c r="D16" s="1">
        <v>0.75</v>
      </c>
      <c r="E16">
        <v>8.48</v>
      </c>
      <c r="L16">
        <v>195</v>
      </c>
      <c r="M16" t="s">
        <v>16</v>
      </c>
      <c r="N16" t="s">
        <v>13</v>
      </c>
      <c r="O16" s="1">
        <v>0.81</v>
      </c>
      <c r="P16">
        <v>7.9</v>
      </c>
    </row>
    <row r="17" spans="12:16" ht="16.5" customHeight="1" x14ac:dyDescent="0.35"/>
    <row r="20" spans="12:16" x14ac:dyDescent="0.35">
      <c r="L20" s="3" t="s">
        <v>0</v>
      </c>
      <c r="M20" s="3" t="s">
        <v>1</v>
      </c>
      <c r="N20" s="3" t="s">
        <v>2</v>
      </c>
      <c r="O20" s="3" t="s">
        <v>3</v>
      </c>
      <c r="P20" s="3" t="s">
        <v>4</v>
      </c>
    </row>
    <row r="21" spans="12:16" x14ac:dyDescent="0.35">
      <c r="L21">
        <v>146</v>
      </c>
      <c r="M21" t="s">
        <v>5</v>
      </c>
      <c r="N21" t="s">
        <v>6</v>
      </c>
      <c r="O21" s="1">
        <v>0.75</v>
      </c>
      <c r="P21">
        <v>8.48</v>
      </c>
    </row>
    <row r="22" spans="12:16" x14ac:dyDescent="0.35">
      <c r="L22">
        <v>159</v>
      </c>
      <c r="M22" t="s">
        <v>9</v>
      </c>
      <c r="N22" t="s">
        <v>10</v>
      </c>
      <c r="O22" s="1">
        <v>0.68</v>
      </c>
      <c r="P22">
        <v>8.1999999999999993</v>
      </c>
    </row>
    <row r="23" spans="12:16" x14ac:dyDescent="0.35">
      <c r="L23">
        <v>150</v>
      </c>
      <c r="M23" t="s">
        <v>14</v>
      </c>
      <c r="N23" t="s">
        <v>11</v>
      </c>
      <c r="O23" s="1">
        <v>0.8</v>
      </c>
      <c r="P23">
        <v>8.3000000000000007</v>
      </c>
    </row>
    <row r="24" spans="12:16" x14ac:dyDescent="0.35">
      <c r="L24">
        <v>195</v>
      </c>
      <c r="M24" t="s">
        <v>16</v>
      </c>
      <c r="N24" t="s">
        <v>13</v>
      </c>
      <c r="O24" s="1">
        <v>0.81</v>
      </c>
      <c r="P24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9ADF-7385-42F0-BDCB-B8B421F395A0}">
  <dimension ref="A1:R29"/>
  <sheetViews>
    <sheetView workbookViewId="0">
      <selection activeCell="B7" sqref="B7"/>
    </sheetView>
  </sheetViews>
  <sheetFormatPr defaultRowHeight="14.5" x14ac:dyDescent="0.35"/>
  <cols>
    <col min="8" max="8" width="14.90625" bestFit="1" customWidth="1"/>
    <col min="10" max="10" width="9.7265625" customWidth="1"/>
    <col min="11" max="11" width="10.54296875" bestFit="1" customWidth="1"/>
    <col min="12" max="12" width="15.08984375" bestFit="1" customWidth="1"/>
  </cols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L1" s="7" t="s">
        <v>0</v>
      </c>
      <c r="M1" s="8">
        <v>146</v>
      </c>
      <c r="N1" s="8">
        <v>158</v>
      </c>
      <c r="O1" s="8">
        <v>159</v>
      </c>
      <c r="P1" s="8">
        <v>150</v>
      </c>
      <c r="Q1" s="8">
        <v>148</v>
      </c>
      <c r="R1" s="8">
        <v>195</v>
      </c>
    </row>
    <row r="2" spans="1:18" x14ac:dyDescent="0.35">
      <c r="A2" s="5">
        <v>146</v>
      </c>
      <c r="B2" s="5" t="s">
        <v>5</v>
      </c>
      <c r="C2" s="5" t="s">
        <v>6</v>
      </c>
      <c r="D2" s="6">
        <v>0.75</v>
      </c>
      <c r="E2" s="5">
        <v>8.48</v>
      </c>
      <c r="L2" s="7" t="s">
        <v>1</v>
      </c>
      <c r="M2" s="8" t="s">
        <v>5</v>
      </c>
      <c r="N2" s="8" t="s">
        <v>7</v>
      </c>
      <c r="O2" s="8" t="s">
        <v>9</v>
      </c>
      <c r="P2" s="8" t="s">
        <v>14</v>
      </c>
      <c r="Q2" s="8" t="s">
        <v>15</v>
      </c>
      <c r="R2" s="8" t="s">
        <v>16</v>
      </c>
    </row>
    <row r="3" spans="1:18" x14ac:dyDescent="0.35">
      <c r="A3" s="5">
        <v>158</v>
      </c>
      <c r="B3" s="5" t="s">
        <v>7</v>
      </c>
      <c r="C3" s="5" t="s">
        <v>8</v>
      </c>
      <c r="D3" s="6">
        <v>0.62</v>
      </c>
      <c r="E3" s="5">
        <v>8</v>
      </c>
      <c r="L3" s="7" t="s">
        <v>2</v>
      </c>
      <c r="M3" s="8" t="s">
        <v>6</v>
      </c>
      <c r="N3" s="8" t="s">
        <v>8</v>
      </c>
      <c r="O3" s="8" t="s">
        <v>10</v>
      </c>
      <c r="P3" s="8" t="s">
        <v>11</v>
      </c>
      <c r="Q3" s="8" t="s">
        <v>12</v>
      </c>
      <c r="R3" s="8" t="s">
        <v>13</v>
      </c>
    </row>
    <row r="4" spans="1:18" x14ac:dyDescent="0.35">
      <c r="A4" s="5">
        <v>159</v>
      </c>
      <c r="B4" s="5" t="s">
        <v>9</v>
      </c>
      <c r="C4" s="5" t="s">
        <v>10</v>
      </c>
      <c r="D4" s="6">
        <v>0.68</v>
      </c>
      <c r="E4" s="5">
        <v>8.1999999999999993</v>
      </c>
      <c r="L4" s="7" t="s">
        <v>3</v>
      </c>
      <c r="M4" s="9">
        <v>0.75</v>
      </c>
      <c r="N4" s="9">
        <v>0.62</v>
      </c>
      <c r="O4" s="9">
        <v>0.68</v>
      </c>
      <c r="P4" s="9">
        <v>0.8</v>
      </c>
      <c r="Q4" s="9">
        <v>0.62</v>
      </c>
      <c r="R4" s="9">
        <v>0.81</v>
      </c>
    </row>
    <row r="5" spans="1:18" x14ac:dyDescent="0.35">
      <c r="A5" s="5">
        <v>150</v>
      </c>
      <c r="B5" s="5" t="s">
        <v>14</v>
      </c>
      <c r="C5" s="5" t="s">
        <v>11</v>
      </c>
      <c r="D5" s="6">
        <v>0.8</v>
      </c>
      <c r="E5" s="5">
        <v>8.3000000000000007</v>
      </c>
      <c r="L5" s="7" t="s">
        <v>4</v>
      </c>
      <c r="M5" s="8">
        <v>8.48</v>
      </c>
      <c r="N5" s="8">
        <v>8</v>
      </c>
      <c r="O5" s="8">
        <v>8.1999999999999993</v>
      </c>
      <c r="P5" s="8">
        <v>8.3000000000000007</v>
      </c>
      <c r="Q5" s="8">
        <v>8.1</v>
      </c>
      <c r="R5" s="8">
        <v>7.9</v>
      </c>
    </row>
    <row r="6" spans="1:18" x14ac:dyDescent="0.35">
      <c r="A6" s="5">
        <v>148</v>
      </c>
      <c r="B6" s="5" t="s">
        <v>15</v>
      </c>
      <c r="C6" s="5" t="s">
        <v>12</v>
      </c>
      <c r="D6" s="6">
        <v>0.62</v>
      </c>
      <c r="E6" s="5">
        <v>8.1</v>
      </c>
    </row>
    <row r="7" spans="1:18" x14ac:dyDescent="0.35">
      <c r="A7" s="5">
        <v>195</v>
      </c>
      <c r="B7" s="5" t="s">
        <v>16</v>
      </c>
      <c r="C7" s="5" t="s">
        <v>13</v>
      </c>
      <c r="D7" s="6">
        <v>0.81</v>
      </c>
      <c r="E7" s="5">
        <v>7.9</v>
      </c>
    </row>
    <row r="10" spans="1:18" x14ac:dyDescent="0.35">
      <c r="A10" t="s">
        <v>19</v>
      </c>
      <c r="C10" s="10" t="s">
        <v>20</v>
      </c>
      <c r="D10" t="str">
        <f>VLOOKUP(150,A1:E7,2,FALSE)</f>
        <v>Deepthi</v>
      </c>
      <c r="L10" t="s">
        <v>21</v>
      </c>
      <c r="M10" s="10" t="s">
        <v>20</v>
      </c>
      <c r="N10" t="str">
        <f>HLOOKUP(M1,L1:R5,2,FALSE)</f>
        <v>Vinay</v>
      </c>
    </row>
    <row r="12" spans="1:18" x14ac:dyDescent="0.35">
      <c r="O12" s="1"/>
    </row>
    <row r="13" spans="1:18" x14ac:dyDescent="0.35">
      <c r="O13" s="1"/>
    </row>
    <row r="14" spans="1:18" x14ac:dyDescent="0.35">
      <c r="O14" s="1"/>
    </row>
    <row r="15" spans="1:18" x14ac:dyDescent="0.35">
      <c r="O15" s="1"/>
    </row>
    <row r="16" spans="1:18" x14ac:dyDescent="0.35">
      <c r="H16" s="4" t="s">
        <v>0</v>
      </c>
      <c r="I16" s="4" t="s">
        <v>1</v>
      </c>
      <c r="J16" s="4" t="s">
        <v>2</v>
      </c>
      <c r="K16" s="4" t="s">
        <v>3</v>
      </c>
      <c r="L16" s="4" t="s">
        <v>4</v>
      </c>
      <c r="O16" s="1"/>
    </row>
    <row r="17" spans="8:15" x14ac:dyDescent="0.35">
      <c r="H17" s="5">
        <v>146</v>
      </c>
      <c r="I17" s="5" t="s">
        <v>5</v>
      </c>
      <c r="J17" s="5" t="s">
        <v>6</v>
      </c>
      <c r="K17" s="6">
        <v>0.75</v>
      </c>
      <c r="L17" s="5">
        <v>8.48</v>
      </c>
      <c r="O17" s="1"/>
    </row>
    <row r="18" spans="8:15" x14ac:dyDescent="0.35">
      <c r="H18" s="5">
        <v>158</v>
      </c>
      <c r="I18" s="5" t="s">
        <v>7</v>
      </c>
      <c r="J18" s="5" t="s">
        <v>8</v>
      </c>
      <c r="K18" s="6">
        <v>0.62</v>
      </c>
      <c r="L18" s="5">
        <v>8</v>
      </c>
    </row>
    <row r="19" spans="8:15" x14ac:dyDescent="0.35">
      <c r="H19" s="5">
        <v>159</v>
      </c>
      <c r="I19" s="5" t="s">
        <v>9</v>
      </c>
      <c r="J19" s="5" t="s">
        <v>10</v>
      </c>
      <c r="K19" s="6">
        <v>0.68</v>
      </c>
      <c r="L19" s="5">
        <v>8.1999999999999993</v>
      </c>
    </row>
    <row r="20" spans="8:15" x14ac:dyDescent="0.35">
      <c r="H20" s="5">
        <v>150</v>
      </c>
      <c r="I20" s="5" t="s">
        <v>14</v>
      </c>
      <c r="J20" s="5" t="s">
        <v>11</v>
      </c>
      <c r="K20" s="6">
        <v>0.8</v>
      </c>
      <c r="L20" s="5">
        <v>8.3000000000000007</v>
      </c>
    </row>
    <row r="21" spans="8:15" x14ac:dyDescent="0.35">
      <c r="H21" s="5">
        <v>148</v>
      </c>
      <c r="I21" s="5" t="s">
        <v>15</v>
      </c>
      <c r="J21" s="5" t="s">
        <v>12</v>
      </c>
      <c r="K21" s="6">
        <v>0.62</v>
      </c>
      <c r="L21" s="5">
        <v>8.1</v>
      </c>
    </row>
    <row r="22" spans="8:15" x14ac:dyDescent="0.35">
      <c r="H22" s="5">
        <v>195</v>
      </c>
      <c r="I22" s="5" t="s">
        <v>16</v>
      </c>
      <c r="J22" s="5" t="s">
        <v>13</v>
      </c>
      <c r="K22" s="6">
        <v>0.81</v>
      </c>
      <c r="L22" s="5">
        <v>7.9</v>
      </c>
    </row>
    <row r="27" spans="8:15" x14ac:dyDescent="0.35">
      <c r="H27" t="s">
        <v>22</v>
      </c>
      <c r="I27" s="10" t="s">
        <v>20</v>
      </c>
      <c r="J27">
        <f>_xlfn.XLOOKUP(H17,H17:H22,K17:K22,"no")</f>
        <v>0.75</v>
      </c>
    </row>
    <row r="29" spans="8:15" x14ac:dyDescent="0.35">
      <c r="J29">
        <f>_xlfn.XLOOKUP(H19,H17:H22,L17:L22,"")</f>
        <v>8.1999999999999993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74-4A66-447E-8DA8-52F485EA601D}">
  <dimension ref="A1:N13"/>
  <sheetViews>
    <sheetView workbookViewId="0">
      <selection activeCell="I18" sqref="I18"/>
    </sheetView>
  </sheetViews>
  <sheetFormatPr defaultRowHeight="14.5" x14ac:dyDescent="0.35"/>
  <cols>
    <col min="3" max="3" width="10.1796875" bestFit="1" customWidth="1"/>
  </cols>
  <sheetData>
    <row r="1" spans="1:14" x14ac:dyDescent="0.35">
      <c r="A1" s="4" t="s">
        <v>0</v>
      </c>
      <c r="B1" s="4" t="s">
        <v>1</v>
      </c>
      <c r="C1" s="11" t="s">
        <v>23</v>
      </c>
    </row>
    <row r="2" spans="1:14" x14ac:dyDescent="0.35">
      <c r="A2" s="5">
        <v>146</v>
      </c>
      <c r="B2" s="5" t="s">
        <v>5</v>
      </c>
      <c r="C2" s="5">
        <f>VLOOKUP(A2,'lookup functions'!A1:E7,4,FALSE)</f>
        <v>0.75</v>
      </c>
    </row>
    <row r="3" spans="1:14" x14ac:dyDescent="0.35">
      <c r="A3">
        <v>195</v>
      </c>
      <c r="B3" s="5" t="s">
        <v>16</v>
      </c>
      <c r="C3" s="5">
        <f>VLOOKUP(A3,'lookup functions'!A2:E8,4,FALSE)</f>
        <v>0.81</v>
      </c>
    </row>
    <row r="4" spans="1:14" x14ac:dyDescent="0.35">
      <c r="A4" s="5">
        <v>159</v>
      </c>
      <c r="B4" s="5" t="s">
        <v>9</v>
      </c>
      <c r="C4" s="5">
        <f>VLOOKUP(A4,'lookup functions'!A3:E9,4,FALSE)</f>
        <v>0.68</v>
      </c>
    </row>
    <row r="5" spans="1:14" x14ac:dyDescent="0.35">
      <c r="A5" s="5">
        <v>148</v>
      </c>
      <c r="B5" s="5" t="s">
        <v>15</v>
      </c>
      <c r="C5" s="5">
        <f>VLOOKUP(A5,'lookup functions'!A4:E10,4,FALSE)</f>
        <v>0.62</v>
      </c>
    </row>
    <row r="6" spans="1:14" x14ac:dyDescent="0.35">
      <c r="A6" s="5">
        <v>158</v>
      </c>
      <c r="B6" s="5" t="s">
        <v>7</v>
      </c>
      <c r="C6" s="5">
        <f>VLOOKUP(A6,'lookup functions'!A1:E7,4,FALSE)</f>
        <v>0.62</v>
      </c>
    </row>
    <row r="7" spans="1:14" x14ac:dyDescent="0.35">
      <c r="A7" s="5">
        <v>150</v>
      </c>
      <c r="B7" s="5" t="s">
        <v>14</v>
      </c>
      <c r="C7" s="5">
        <f>VLOOKUP(A7,'lookup functions'!A2:E8,4,FALSE)</f>
        <v>0.8</v>
      </c>
      <c r="M7" s="12"/>
      <c r="N7" s="12"/>
    </row>
    <row r="8" spans="1:14" x14ac:dyDescent="0.35">
      <c r="M8" s="12"/>
      <c r="N8" s="12"/>
    </row>
    <row r="9" spans="1:14" x14ac:dyDescent="0.35">
      <c r="M9" s="12"/>
      <c r="N9" s="12"/>
    </row>
    <row r="10" spans="1:14" x14ac:dyDescent="0.35">
      <c r="M10" s="12"/>
      <c r="N10" s="12"/>
    </row>
    <row r="11" spans="1:14" x14ac:dyDescent="0.35">
      <c r="M11" s="12"/>
      <c r="N11" s="12"/>
    </row>
    <row r="12" spans="1:14" x14ac:dyDescent="0.35">
      <c r="M12" s="12"/>
      <c r="N12" s="12"/>
    </row>
    <row r="13" spans="1:14" x14ac:dyDescent="0.35">
      <c r="M13" s="12"/>
      <c r="N1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FDA3-6490-4013-A6EC-32A71749AD2C}">
  <dimension ref="A1:C12"/>
  <sheetViews>
    <sheetView tabSelected="1" workbookViewId="0">
      <selection activeCell="F12" sqref="F12"/>
    </sheetView>
  </sheetViews>
  <sheetFormatPr defaultRowHeight="14.5" x14ac:dyDescent="0.35"/>
  <cols>
    <col min="3" max="3" width="15.1796875" bestFit="1" customWidth="1"/>
  </cols>
  <sheetData>
    <row r="1" spans="1:3" ht="23.5" x14ac:dyDescent="0.55000000000000004">
      <c r="A1" s="13" t="s">
        <v>24</v>
      </c>
      <c r="B1" s="14"/>
      <c r="C1" s="14"/>
    </row>
    <row r="2" spans="1:3" x14ac:dyDescent="0.35">
      <c r="A2" t="s">
        <v>25</v>
      </c>
      <c r="B2" s="10" t="s">
        <v>20</v>
      </c>
      <c r="C2" s="15">
        <f ca="1">TODAY()</f>
        <v>46202</v>
      </c>
    </row>
    <row r="3" spans="1:3" x14ac:dyDescent="0.35">
      <c r="A3" t="s">
        <v>26</v>
      </c>
      <c r="B3" s="10" t="s">
        <v>20</v>
      </c>
      <c r="C3" s="16">
        <f ca="1">NOW()</f>
        <v>46202.979138773146</v>
      </c>
    </row>
    <row r="4" spans="1:3" x14ac:dyDescent="0.35">
      <c r="A4" t="s">
        <v>27</v>
      </c>
      <c r="B4" s="10" t="s">
        <v>20</v>
      </c>
      <c r="C4" s="15">
        <f>DATE(2026,6,29)</f>
        <v>46202</v>
      </c>
    </row>
    <row r="5" spans="1:3" x14ac:dyDescent="0.35">
      <c r="A5" t="s">
        <v>28</v>
      </c>
      <c r="B5" s="10" t="s">
        <v>20</v>
      </c>
      <c r="C5" s="17">
        <f ca="1">DAY(TODAY())</f>
        <v>29</v>
      </c>
    </row>
    <row r="6" spans="1:3" x14ac:dyDescent="0.35">
      <c r="A6" t="s">
        <v>29</v>
      </c>
      <c r="B6" s="10" t="s">
        <v>20</v>
      </c>
      <c r="C6" s="17">
        <f ca="1">DAY(TODAY()+10)</f>
        <v>9</v>
      </c>
    </row>
    <row r="7" spans="1:3" x14ac:dyDescent="0.35">
      <c r="A7" t="s">
        <v>30</v>
      </c>
      <c r="B7" s="10" t="s">
        <v>20</v>
      </c>
      <c r="C7" s="17">
        <f ca="1">MONTH(TODAY())</f>
        <v>6</v>
      </c>
    </row>
    <row r="8" spans="1:3" x14ac:dyDescent="0.35">
      <c r="A8" t="s">
        <v>31</v>
      </c>
      <c r="B8" s="10" t="s">
        <v>20</v>
      </c>
      <c r="C8" s="17">
        <f ca="1">YEAR(C2)</f>
        <v>2026</v>
      </c>
    </row>
    <row r="9" spans="1:3" x14ac:dyDescent="0.35">
      <c r="A9" t="s">
        <v>33</v>
      </c>
      <c r="B9" s="10" t="s">
        <v>20</v>
      </c>
      <c r="C9" s="17">
        <f ca="1">WEEKDAY(C2)</f>
        <v>2</v>
      </c>
    </row>
    <row r="10" spans="1:3" x14ac:dyDescent="0.35">
      <c r="A10" t="s">
        <v>32</v>
      </c>
      <c r="B10" s="10" t="s">
        <v>20</v>
      </c>
      <c r="C10" s="17" t="str">
        <f ca="1">TEXT(C9,"dddd")</f>
        <v>Monday</v>
      </c>
    </row>
    <row r="11" spans="1:3" x14ac:dyDescent="0.35">
      <c r="A11" t="s">
        <v>34</v>
      </c>
      <c r="B11" s="10" t="s">
        <v>20</v>
      </c>
      <c r="C11" s="15">
        <f ca="1">EDATE(C2,2)</f>
        <v>46263</v>
      </c>
    </row>
    <row r="12" spans="1:3" x14ac:dyDescent="0.35">
      <c r="A12" t="s">
        <v>35</v>
      </c>
      <c r="B12" s="10" t="s">
        <v>20</v>
      </c>
      <c r="C12" s="15">
        <f ca="1">EOMONTH(C2,1)</f>
        <v>46234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Adv Filters</vt:lpstr>
      <vt:lpstr>lookup functions</vt:lpstr>
      <vt:lpstr>data extraction by lookup func</vt:lpstr>
      <vt:lpstr>date func</vt:lpstr>
      <vt:lpstr>'Adv Filters'!Criteria</vt:lpstr>
      <vt:lpstr>'Adv Filters'!Extract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Vinay</dc:creator>
  <cp:lastModifiedBy>Prudhvi Vinay</cp:lastModifiedBy>
  <dcterms:created xsi:type="dcterms:W3CDTF">2026-06-27T17:17:19Z</dcterms:created>
  <dcterms:modified xsi:type="dcterms:W3CDTF">2026-06-29T18:00:35Z</dcterms:modified>
</cp:coreProperties>
</file>